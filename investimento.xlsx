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OneDrive\Documentos\"/>
    </mc:Choice>
  </mc:AlternateContent>
  <bookViews>
    <workbookView xWindow="0" yWindow="0" windowWidth="6315" windowHeight="2460" tabRatio="81"/>
  </bookViews>
  <sheets>
    <sheet name="Plan1" sheetId="1" r:id="rId1"/>
    <sheet name="Plan2" sheetId="2" r:id="rId2"/>
  </sheets>
  <definedNames>
    <definedName name="jdkf">Plan1!$D$11</definedName>
    <definedName name="patrimonio">Plan1!$D$18</definedName>
    <definedName name="quant_anos">Plan1!$D$16</definedName>
    <definedName name="rend">Plan1!$D$11</definedName>
    <definedName name="rendimento">Plan1!$D$11</definedName>
    <definedName name="rendimento_cart">Plan1!$D$11</definedName>
    <definedName name="Rendimento_carteira">Plan1!$D$11</definedName>
    <definedName name="taxa_mensal">Plan1!$D$17</definedName>
    <definedName name="valor_invest">Plan1!$D$15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0" i="1"/>
  <c r="D34" i="1" s="1"/>
  <c r="D36" i="1" l="1"/>
  <c r="D37" i="1"/>
  <c r="D35" i="1"/>
  <c r="D33" i="1"/>
  <c r="D38" i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9" i="1" l="1"/>
</calcChain>
</file>

<file path=xl/sharedStrings.xml><?xml version="1.0" encoding="utf-8"?>
<sst xmlns="http://schemas.openxmlformats.org/spreadsheetml/2006/main" count="70" uniqueCount="36">
  <si>
    <t>Quanto investir por mês;</t>
  </si>
  <si>
    <t>Por quantos anos;</t>
  </si>
  <si>
    <t>Qual a taxa de rendimento mensal;</t>
  </si>
  <si>
    <t>Quanto de patrimônio vai acumular;</t>
  </si>
  <si>
    <t>Quanto vai receber de dividendos por mês.</t>
  </si>
  <si>
    <t>Investimento Mensal</t>
  </si>
  <si>
    <t>Por 2 anos</t>
  </si>
  <si>
    <t>Por 5anos</t>
  </si>
  <si>
    <t>Por 10 anos</t>
  </si>
  <si>
    <t>Por 20 anos</t>
  </si>
  <si>
    <t>Por 30 anos</t>
  </si>
  <si>
    <t>Cenários</t>
  </si>
  <si>
    <t>dividendo</t>
  </si>
  <si>
    <t>Configurações</t>
  </si>
  <si>
    <t>Salário</t>
  </si>
  <si>
    <t>Sugestão de investimento</t>
  </si>
  <si>
    <t>Rendimento carteira</t>
  </si>
  <si>
    <t/>
  </si>
  <si>
    <t>AGRESSIVO</t>
  </si>
  <si>
    <t>Perfil</t>
  </si>
  <si>
    <t>CONSERVADOR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</si>
  <si>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</si>
  <si>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</si>
  <si>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</si>
  <si>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</si>
  <si>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</si>
  <si>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</si>
  <si>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</si>
  <si>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</si>
  <si>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</si>
  <si>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</si>
  <si>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TIPO DE FII</t>
  </si>
  <si>
    <t>PERFIL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</si>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</sst>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3282C"/>
      <name val="Segoe UI"/>
      <family val="2"/>
    </font>
    <font>
      <b/>
      <sz val="2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8" fontId="0" fillId="3" borderId="3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8" fontId="0" fillId="3" borderId="5" xfId="0" applyNumberFormat="1" applyFill="1" applyBorder="1"/>
    <xf numFmtId="8" fontId="0" fillId="3" borderId="12" xfId="0" applyNumberFormat="1" applyFill="1" applyBorder="1" applyAlignment="1">
      <alignment horizontal="center"/>
    </xf>
    <xf numFmtId="0" fontId="0" fillId="0" borderId="0" xfId="0" quotePrefix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8" fontId="0" fillId="3" borderId="7" xfId="0" applyNumberFormat="1" applyFill="1" applyBorder="1"/>
    <xf numFmtId="8" fontId="0" fillId="3" borderId="9" xfId="0" applyNumberFormat="1" applyFill="1" applyBorder="1"/>
    <xf numFmtId="164" fontId="0" fillId="0" borderId="5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0" fontId="6" fillId="0" borderId="7" xfId="2" applyNumberFormat="1" applyFont="1" applyBorder="1" applyAlignment="1">
      <alignment horizontal="center"/>
    </xf>
    <xf numFmtId="8" fontId="6" fillId="3" borderId="7" xfId="0" applyNumberFormat="1" applyFont="1" applyFill="1" applyBorder="1" applyAlignment="1">
      <alignment horizontal="center"/>
    </xf>
    <xf numFmtId="8" fontId="6" fillId="3" borderId="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center"/>
    </xf>
    <xf numFmtId="0" fontId="5" fillId="4" borderId="0" xfId="3" applyBorder="1"/>
    <xf numFmtId="0" fontId="5" fillId="4" borderId="0" xfId="3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6" fillId="2" borderId="0" xfId="0" applyFont="1" applyFill="1"/>
    <xf numFmtId="9" fontId="0" fillId="0" borderId="0" xfId="0" applyNumberFormat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/>
    <xf numFmtId="0" fontId="6" fillId="8" borderId="0" xfId="0" applyFont="1" applyFill="1" applyAlignment="1">
      <alignment horizontal="center"/>
    </xf>
    <xf numFmtId="164" fontId="6" fillId="8" borderId="0" xfId="0" applyNumberFormat="1" applyFont="1" applyFill="1"/>
    <xf numFmtId="9" fontId="0" fillId="0" borderId="0" xfId="2" applyFont="1"/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2" applyFont="1" applyBorder="1"/>
    <xf numFmtId="0" fontId="8" fillId="4" borderId="0" xfId="3" applyFont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 Sugerido para</a:t>
            </a:r>
            <a:r>
              <a:rPr lang="en-US" baseline="0"/>
              <a:t> cada tipo de FII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Plan1!$C$32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555028</xdr:colOff>
      <xdr:row>0</xdr:row>
      <xdr:rowOff>74160</xdr:rowOff>
    </xdr:from>
    <xdr:to>
      <xdr:col>4</xdr:col>
      <xdr:colOff>34018</xdr:colOff>
      <xdr:row>7</xdr:row>
      <xdr:rowOff>154871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1" t="29493" r="14734" b="55649"/>
        <a:stretch/>
      </xdr:blipFill>
      <xdr:spPr>
        <a:xfrm>
          <a:off x="555028" y="74160"/>
          <a:ext cx="6061445" cy="1390399"/>
        </a:xfrm>
        <a:prstGeom prst="rect">
          <a:avLst/>
        </a:prstGeom>
      </xdr:spPr>
    </xdr:pic>
    <xdr:clientData/>
  </xdr:twoCellAnchor>
  <xdr:twoCellAnchor>
    <xdr:from>
      <xdr:col>0</xdr:col>
      <xdr:colOff>538743</xdr:colOff>
      <xdr:row>40</xdr:row>
      <xdr:rowOff>79830</xdr:rowOff>
    </xdr:from>
    <xdr:to>
      <xdr:col>4</xdr:col>
      <xdr:colOff>45357</xdr:colOff>
      <xdr:row>54</xdr:row>
      <xdr:rowOff>106641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G39"/>
  <sheetViews>
    <sheetView showGridLines="0" showRowColHeaders="0" tabSelected="1" topLeftCell="A14" zoomScale="84" zoomScaleNormal="85" workbookViewId="0">
      <selection activeCell="D16" sqref="D16"/>
    </sheetView>
  </sheetViews>
  <sheetFormatPr defaultColWidth="0" defaultRowHeight="15" x14ac:dyDescent="0.25"/>
  <cols>
    <col min="1" max="1" width="9.140625" customWidth="1"/>
    <col min="2" max="2" width="38.85546875" customWidth="1"/>
    <col min="3" max="3" width="36.42578125" style="1" customWidth="1"/>
    <col min="4" max="4" width="14.28515625" bestFit="1" customWidth="1"/>
    <col min="5" max="5" width="26" bestFit="1" customWidth="1"/>
    <col min="6" max="6" width="21.42578125" customWidth="1"/>
    <col min="7" max="7" width="9.140625" customWidth="1"/>
    <col min="8" max="16384" width="9.140625" hidden="1"/>
  </cols>
  <sheetData>
    <row r="8" spans="2:4" ht="15.75" thickBot="1" x14ac:dyDescent="0.3"/>
    <row r="9" spans="2:4" ht="27" thickBot="1" x14ac:dyDescent="0.3">
      <c r="B9" s="33" t="s">
        <v>13</v>
      </c>
      <c r="C9" s="34"/>
      <c r="D9" s="35"/>
    </row>
    <row r="10" spans="2:4" ht="15.75" x14ac:dyDescent="0.25">
      <c r="B10" s="21" t="s">
        <v>14</v>
      </c>
      <c r="C10" s="36"/>
      <c r="D10" s="13">
        <v>4800</v>
      </c>
    </row>
    <row r="11" spans="2:4" ht="15.75" x14ac:dyDescent="0.25">
      <c r="B11" s="22" t="s">
        <v>16</v>
      </c>
      <c r="C11" s="26"/>
      <c r="D11" s="14">
        <v>6.0000000000000001E-3</v>
      </c>
    </row>
    <row r="12" spans="2:4" ht="16.5" thickBot="1" x14ac:dyDescent="0.3">
      <c r="B12" s="23" t="s">
        <v>15</v>
      </c>
      <c r="C12" s="29"/>
      <c r="D12" s="15">
        <f>D10*30%</f>
        <v>1440</v>
      </c>
    </row>
    <row r="13" spans="2:4" ht="15.75" thickBot="1" x14ac:dyDescent="0.3"/>
    <row r="14" spans="2:4" ht="37.5" customHeight="1" thickBot="1" x14ac:dyDescent="0.3">
      <c r="B14" s="30" t="s">
        <v>5</v>
      </c>
      <c r="C14" s="31"/>
      <c r="D14" s="32"/>
    </row>
    <row r="15" spans="2:4" ht="17.25" x14ac:dyDescent="0.25">
      <c r="B15" s="24" t="s">
        <v>0</v>
      </c>
      <c r="C15" s="27"/>
      <c r="D15" s="16">
        <v>1200</v>
      </c>
    </row>
    <row r="16" spans="2:4" ht="17.25" x14ac:dyDescent="0.25">
      <c r="B16" s="28" t="s">
        <v>1</v>
      </c>
      <c r="C16" s="25"/>
      <c r="D16" s="17">
        <v>10</v>
      </c>
    </row>
    <row r="17" spans="1:4" ht="17.25" x14ac:dyDescent="0.25">
      <c r="B17" s="28" t="s">
        <v>2</v>
      </c>
      <c r="C17" s="25"/>
      <c r="D17" s="18">
        <v>1.0789999999999999E-2</v>
      </c>
    </row>
    <row r="18" spans="1:4" ht="15.75" x14ac:dyDescent="0.25">
      <c r="B18" s="22" t="s">
        <v>3</v>
      </c>
      <c r="C18" s="26"/>
      <c r="D18" s="19">
        <f>FV(taxa_mensal,quant_anos*12,valor_invest*-1)</f>
        <v>291941.05503620661</v>
      </c>
    </row>
    <row r="19" spans="1:4" ht="16.5" thickBot="1" x14ac:dyDescent="0.3">
      <c r="B19" s="23" t="s">
        <v>4</v>
      </c>
      <c r="C19" s="29"/>
      <c r="D19" s="20">
        <f>patrimonio*1%</f>
        <v>2919.4105503620663</v>
      </c>
    </row>
    <row r="20" spans="1:4" ht="15.75" thickBot="1" x14ac:dyDescent="0.3"/>
    <row r="21" spans="1:4" ht="27" thickBot="1" x14ac:dyDescent="0.3">
      <c r="A21" s="7" t="s">
        <v>17</v>
      </c>
      <c r="B21" s="8" t="s">
        <v>11</v>
      </c>
      <c r="C21" s="9"/>
      <c r="D21" s="10" t="s">
        <v>12</v>
      </c>
    </row>
    <row r="22" spans="1:4" ht="15.75" x14ac:dyDescent="0.25">
      <c r="A22" s="2">
        <v>2</v>
      </c>
      <c r="B22" s="52" t="s">
        <v>6</v>
      </c>
      <c r="C22" s="4">
        <f>FV($D$17,$A22*12,$D$15*-1)</f>
        <v>32673.152757174259</v>
      </c>
      <c r="D22" s="5">
        <f>C22*rendimento_cart</f>
        <v>196.03891654304556</v>
      </c>
    </row>
    <row r="23" spans="1:4" ht="15.75" x14ac:dyDescent="0.25">
      <c r="A23" s="2">
        <v>5</v>
      </c>
      <c r="B23" s="53" t="s">
        <v>7</v>
      </c>
      <c r="C23" s="3">
        <f>FV($D$17,$A23*12,$D$15*-1)</f>
        <v>100532.29679818517</v>
      </c>
      <c r="D23" s="11">
        <f>C23*rendimento_cart</f>
        <v>603.19378078911097</v>
      </c>
    </row>
    <row r="24" spans="1:4" ht="15.75" x14ac:dyDescent="0.25">
      <c r="A24" s="2">
        <v>10</v>
      </c>
      <c r="B24" s="53" t="s">
        <v>8</v>
      </c>
      <c r="C24" s="3">
        <f>FV($D$17,$A24*12,$D$15*-1)</f>
        <v>291941.05503620661</v>
      </c>
      <c r="D24" s="11">
        <f>C24*rendimento_cart</f>
        <v>1751.6463302172397</v>
      </c>
    </row>
    <row r="25" spans="1:4" ht="15.75" x14ac:dyDescent="0.25">
      <c r="A25" s="2">
        <v>20</v>
      </c>
      <c r="B25" s="53" t="s">
        <v>9</v>
      </c>
      <c r="C25" s="3">
        <f>FV($D$17,$A25*12,$D$15*-1)</f>
        <v>1350238.0801164967</v>
      </c>
      <c r="D25" s="11">
        <f>C25*rendimento_cart</f>
        <v>8101.4284806989799</v>
      </c>
    </row>
    <row r="26" spans="1:4" ht="16.5" thickBot="1" x14ac:dyDescent="0.3">
      <c r="A26" s="2">
        <v>30</v>
      </c>
      <c r="B26" s="54" t="s">
        <v>10</v>
      </c>
      <c r="C26" s="6">
        <f>FV($D$17,$A26*12,$D$15*-1)</f>
        <v>5186603.586005657</v>
      </c>
      <c r="D26" s="12">
        <f>C26*rendimento_cart</f>
        <v>31119.621516033942</v>
      </c>
    </row>
    <row r="29" spans="1:4" x14ac:dyDescent="0.25">
      <c r="B29" s="37" t="s">
        <v>19</v>
      </c>
      <c r="C29" s="51" t="s">
        <v>20</v>
      </c>
      <c r="D29" s="38"/>
    </row>
    <row r="30" spans="1:4" x14ac:dyDescent="0.25">
      <c r="B30" s="41" t="s">
        <v>21</v>
      </c>
      <c r="C30" s="40">
        <f>valor_invest</f>
        <v>1200</v>
      </c>
      <c r="D30" s="39"/>
    </row>
    <row r="32" spans="1:4" x14ac:dyDescent="0.25">
      <c r="B32" s="43" t="s">
        <v>22</v>
      </c>
      <c r="C32" s="43" t="s">
        <v>23</v>
      </c>
      <c r="D32" s="43" t="s">
        <v>24</v>
      </c>
    </row>
    <row r="33" spans="2:4" x14ac:dyDescent="0.25">
      <c r="B33" s="1" t="s">
        <v>25</v>
      </c>
      <c r="C33" s="42">
        <f>VLOOKUP($C$29&amp;"-"&amp;B33,Plan2!A3:D21,4,FALSE)</f>
        <v>0.3</v>
      </c>
      <c r="D33" s="40">
        <f>C33*$C$30</f>
        <v>360</v>
      </c>
    </row>
    <row r="34" spans="2:4" x14ac:dyDescent="0.25">
      <c r="B34" s="1" t="s">
        <v>26</v>
      </c>
      <c r="C34" s="42">
        <f>VLOOKUP($C$29&amp;"-"&amp;B34,Plan2!A4:D22,4,FALSE)</f>
        <v>0.5</v>
      </c>
      <c r="D34" s="40">
        <f t="shared" ref="D34:D38" si="0">C34*$C$30</f>
        <v>600</v>
      </c>
    </row>
    <row r="35" spans="2:4" x14ac:dyDescent="0.25">
      <c r="B35" s="1" t="s">
        <v>27</v>
      </c>
      <c r="C35" s="42">
        <f>VLOOKUP($C$29&amp;"-"&amp;B35,Plan2!A5:D23,4,FALSE)</f>
        <v>0.1</v>
      </c>
      <c r="D35" s="40">
        <f t="shared" si="0"/>
        <v>120</v>
      </c>
    </row>
    <row r="36" spans="2:4" x14ac:dyDescent="0.25">
      <c r="B36" s="1" t="s">
        <v>28</v>
      </c>
      <c r="C36" s="42">
        <f>VLOOKUP($C$29&amp;"-"&amp;B36,Plan2!A6:D24,4,FALSE)</f>
        <v>0.1</v>
      </c>
      <c r="D36" s="40">
        <f t="shared" si="0"/>
        <v>120</v>
      </c>
    </row>
    <row r="37" spans="2:4" x14ac:dyDescent="0.25">
      <c r="B37" s="1" t="s">
        <v>29</v>
      </c>
      <c r="C37" s="42">
        <f>VLOOKUP($C$29&amp;"-"&amp;B37,Plan2!A7:D25,4,FALSE)</f>
        <v>0</v>
      </c>
      <c r="D37" s="40">
        <f t="shared" si="0"/>
        <v>0</v>
      </c>
    </row>
    <row r="38" spans="2:4" x14ac:dyDescent="0.25">
      <c r="B38" s="1" t="s">
        <v>30</v>
      </c>
      <c r="C38" s="42">
        <f>VLOOKUP($C$29&amp;"-"&amp;B38,Plan2!A8:D26,4,FALSE)</f>
        <v>0</v>
      </c>
      <c r="D38" s="40">
        <f t="shared" si="0"/>
        <v>0</v>
      </c>
    </row>
    <row r="39" spans="2:4" x14ac:dyDescent="0.25">
      <c r="B39" s="44"/>
      <c r="C39" s="45"/>
      <c r="D39" s="46">
        <f>SUM(D33:D38)</f>
        <v>1200</v>
      </c>
    </row>
  </sheetData>
  <mergeCells count="11">
    <mergeCell ref="B21:C21"/>
    <mergeCell ref="B9:C9"/>
    <mergeCell ref="B10:C10"/>
    <mergeCell ref="B11:C11"/>
    <mergeCell ref="B12:C12"/>
    <mergeCell ref="B15:C15"/>
    <mergeCell ref="B16:C16"/>
    <mergeCell ref="B17:C17"/>
    <mergeCell ref="B18:C18"/>
    <mergeCell ref="B19:C19"/>
    <mergeCell ref="B14:D14"/>
  </mergeCells>
  <dataValidations count="1">
    <dataValidation type="list" allowBlank="1" showInputMessage="1" showErrorMessage="1" sqref="C29">
      <formula1>"AGRESSIVO,CONSERVADOR,MODERADO"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"/>
  <sheetViews>
    <sheetView topLeftCell="A2" zoomScale="87" workbookViewId="0">
      <selection activeCell="D14" sqref="D14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</cols>
  <sheetData>
    <row r="3" spans="1:4" x14ac:dyDescent="0.25">
      <c r="A3" t="s">
        <v>34</v>
      </c>
      <c r="B3" t="s">
        <v>32</v>
      </c>
      <c r="C3" t="s">
        <v>31</v>
      </c>
      <c r="D3" t="s">
        <v>33</v>
      </c>
    </row>
    <row r="4" spans="1:4" x14ac:dyDescent="0.25">
      <c r="A4" t="str">
        <f>B4&amp;"-"&amp;C4</f>
        <v>CONSERVADOR-PAPEL</v>
      </c>
      <c r="B4" t="s">
        <v>20</v>
      </c>
      <c r="C4" s="1" t="s">
        <v>25</v>
      </c>
      <c r="D4" s="47">
        <v>0.3</v>
      </c>
    </row>
    <row r="5" spans="1:4" x14ac:dyDescent="0.25">
      <c r="A5" t="str">
        <f t="shared" ref="A5:A21" si="0">B5&amp;"-"&amp;C5</f>
        <v>CONSERVADOR-TIJOLO</v>
      </c>
      <c r="B5" t="s">
        <v>20</v>
      </c>
      <c r="C5" s="1" t="s">
        <v>26</v>
      </c>
      <c r="D5" s="47">
        <v>0.5</v>
      </c>
    </row>
    <row r="6" spans="1:4" x14ac:dyDescent="0.25">
      <c r="A6" t="str">
        <f t="shared" si="0"/>
        <v>CONSERVADOR-HÍBRIDOS</v>
      </c>
      <c r="B6" t="s">
        <v>20</v>
      </c>
      <c r="C6" s="1" t="s">
        <v>27</v>
      </c>
      <c r="D6" s="47">
        <v>0.1</v>
      </c>
    </row>
    <row r="7" spans="1:4" x14ac:dyDescent="0.25">
      <c r="A7" t="str">
        <f t="shared" si="0"/>
        <v>CONSERVADOR-FOF's</v>
      </c>
      <c r="B7" t="s">
        <v>20</v>
      </c>
      <c r="C7" s="1" t="s">
        <v>28</v>
      </c>
      <c r="D7" s="47">
        <v>0.1</v>
      </c>
    </row>
    <row r="8" spans="1:4" x14ac:dyDescent="0.25">
      <c r="A8" t="str">
        <f t="shared" si="0"/>
        <v>CONSERVADOR-DESENVOLVIMENTO</v>
      </c>
      <c r="B8" t="s">
        <v>20</v>
      </c>
      <c r="C8" s="1" t="s">
        <v>29</v>
      </c>
      <c r="D8" s="47">
        <v>0</v>
      </c>
    </row>
    <row r="9" spans="1:4" ht="15.75" thickBot="1" x14ac:dyDescent="0.3">
      <c r="A9" s="48" t="str">
        <f t="shared" si="0"/>
        <v>CONSERVADOR-HOTELARIAS</v>
      </c>
      <c r="B9" s="48" t="s">
        <v>20</v>
      </c>
      <c r="C9" s="49" t="s">
        <v>30</v>
      </c>
      <c r="D9" s="50">
        <v>0</v>
      </c>
    </row>
    <row r="10" spans="1:4" x14ac:dyDescent="0.25">
      <c r="A10" t="str">
        <f t="shared" si="0"/>
        <v>MODERADO-PAPEL</v>
      </c>
      <c r="B10" t="s">
        <v>35</v>
      </c>
      <c r="C10" s="1" t="s">
        <v>25</v>
      </c>
      <c r="D10" s="47">
        <v>0.32</v>
      </c>
    </row>
    <row r="11" spans="1:4" x14ac:dyDescent="0.25">
      <c r="A11" t="str">
        <f t="shared" si="0"/>
        <v>MODERADO-TIJOLO</v>
      </c>
      <c r="B11" t="s">
        <v>35</v>
      </c>
      <c r="C11" s="1" t="s">
        <v>26</v>
      </c>
      <c r="D11" s="47">
        <v>0.35</v>
      </c>
    </row>
    <row r="12" spans="1:4" x14ac:dyDescent="0.25">
      <c r="A12" t="str">
        <f t="shared" si="0"/>
        <v>MODERADO-HÍBRIDOS</v>
      </c>
      <c r="B12" t="s">
        <v>35</v>
      </c>
      <c r="C12" s="1" t="s">
        <v>27</v>
      </c>
      <c r="D12" s="47">
        <v>0.08</v>
      </c>
    </row>
    <row r="13" spans="1:4" x14ac:dyDescent="0.25">
      <c r="A13" t="str">
        <f t="shared" si="0"/>
        <v>MODERADO-FOF's</v>
      </c>
      <c r="B13" t="s">
        <v>35</v>
      </c>
      <c r="C13" s="1" t="s">
        <v>28</v>
      </c>
      <c r="D13" s="47">
        <v>0.05</v>
      </c>
    </row>
    <row r="14" spans="1:4" x14ac:dyDescent="0.25">
      <c r="A14" t="str">
        <f t="shared" si="0"/>
        <v>MODERADO-DESENVOLVIMENTO</v>
      </c>
      <c r="B14" t="s">
        <v>35</v>
      </c>
      <c r="C14" s="1" t="s">
        <v>29</v>
      </c>
      <c r="D14" s="47">
        <v>0.1</v>
      </c>
    </row>
    <row r="15" spans="1:4" ht="15.75" thickBot="1" x14ac:dyDescent="0.3">
      <c r="A15" s="48" t="str">
        <f t="shared" si="0"/>
        <v>MODERADO-HOTELARIAS</v>
      </c>
      <c r="B15" s="48" t="s">
        <v>35</v>
      </c>
      <c r="C15" s="49" t="s">
        <v>30</v>
      </c>
      <c r="D15" s="50">
        <v>0.1</v>
      </c>
    </row>
    <row r="16" spans="1:4" x14ac:dyDescent="0.25">
      <c r="A16" t="str">
        <f t="shared" si="0"/>
        <v>AGRESSIVO-PAPEL</v>
      </c>
      <c r="B16" t="s">
        <v>18</v>
      </c>
      <c r="C16" s="1" t="s">
        <v>25</v>
      </c>
      <c r="D16" s="47">
        <v>0.5</v>
      </c>
    </row>
    <row r="17" spans="1:4" x14ac:dyDescent="0.25">
      <c r="A17" t="str">
        <f t="shared" si="0"/>
        <v>AGRESSIVO-TIJOLO</v>
      </c>
      <c r="B17" t="s">
        <v>18</v>
      </c>
      <c r="C17" s="1" t="s">
        <v>26</v>
      </c>
      <c r="D17" s="47">
        <v>0.1</v>
      </c>
    </row>
    <row r="18" spans="1:4" x14ac:dyDescent="0.25">
      <c r="A18" t="str">
        <f t="shared" si="0"/>
        <v>AGRESSIVO-HÍBRIDOS</v>
      </c>
      <c r="B18" t="s">
        <v>18</v>
      </c>
      <c r="C18" s="1" t="s">
        <v>27</v>
      </c>
      <c r="D18" s="47">
        <v>0.05</v>
      </c>
    </row>
    <row r="19" spans="1:4" x14ac:dyDescent="0.25">
      <c r="A19" t="str">
        <f t="shared" si="0"/>
        <v>AGRESSIVO-FOF's</v>
      </c>
      <c r="B19" t="s">
        <v>18</v>
      </c>
      <c r="C19" s="1" t="s">
        <v>28</v>
      </c>
      <c r="D19" s="47">
        <v>0.05</v>
      </c>
    </row>
    <row r="20" spans="1:4" x14ac:dyDescent="0.25">
      <c r="A20" t="str">
        <f t="shared" si="0"/>
        <v>AGRESSIVO-DESENVOLVIMENTO</v>
      </c>
      <c r="B20" t="s">
        <v>18</v>
      </c>
      <c r="C20" s="1" t="s">
        <v>29</v>
      </c>
      <c r="D20" s="47">
        <v>0.2</v>
      </c>
    </row>
    <row r="21" spans="1:4" x14ac:dyDescent="0.25">
      <c r="A21" t="str">
        <f t="shared" si="0"/>
        <v>AGRESSIVO-HOTELARIAS</v>
      </c>
      <c r="B21" t="s">
        <v>18</v>
      </c>
      <c r="C21" s="1" t="s">
        <v>30</v>
      </c>
      <c r="D21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Plan1</vt:lpstr>
      <vt:lpstr>Plan2</vt:lpstr>
      <vt:lpstr>jdkf</vt:lpstr>
      <vt:lpstr>patrimonio</vt:lpstr>
      <vt:lpstr>quant_anos</vt:lpstr>
      <vt:lpstr>rend</vt:lpstr>
      <vt:lpstr>rendimento</vt:lpstr>
      <vt:lpstr>rendimento_cart</vt:lpstr>
      <vt:lpstr>Rendimento_carteira</vt:lpstr>
      <vt:lpstr>taxa_mensal</vt:lpstr>
      <vt:lpstr>valor_invest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Milhomem Gomes</dc:creator>
  <cp:lastModifiedBy>Gabriella Milhomem Gomes</cp:lastModifiedBy>
  <dcterms:created xsi:type="dcterms:W3CDTF">2026-10-16T00:55:24Z</dcterms:created>
  <dcterms:modified xsi:type="dcterms:W3CDTF">2026-10-16T23:56:38Z</dcterms:modified>
</cp:coreProperties>
</file>